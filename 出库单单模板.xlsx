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出库单 3 (3)" sheetId="1" r:id="rId1"/>
  </sheets>
  <externalReferences>
    <externalReference r:id="rId2"/>
  </externalReferences>
  <definedNames>
    <definedName name="_xlnm.Print_Area" localSheetId="0">'出库单 3 (3)'!$A$1:$J$92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<sst xmlns="http://schemas.openxmlformats.org/spreadsheetml/2006/main" count="81" uniqueCount="27">
  <si>
    <t>深圳市海普洛斯生物科技有限公司-质量体系文件</t>
  </si>
  <si>
    <t>出 库 单</t>
  </si>
  <si>
    <t>公司名称：</t>
  </si>
  <si>
    <t>深圳市海普洛斯生物科技有限公司</t>
  </si>
  <si>
    <t>出库类型：</t>
  </si>
  <si>
    <t>IVD材料出库</t>
  </si>
  <si>
    <t>出库单号：</t>
  </si>
  <si>
    <t>仓    库：</t>
  </si>
  <si>
    <t>领用部门：</t>
  </si>
  <si>
    <t>生产部</t>
  </si>
  <si>
    <t>出库日期：</t>
  </si>
  <si>
    <t>序号</t>
  </si>
  <si>
    <t>物料编码</t>
  </si>
  <si>
    <t>物料名称</t>
  </si>
  <si>
    <t>品牌</t>
  </si>
  <si>
    <t>规格</t>
  </si>
  <si>
    <t>单位</t>
  </si>
  <si>
    <t>数量</t>
  </si>
  <si>
    <t>批次</t>
  </si>
  <si>
    <t>失效日期</t>
  </si>
  <si>
    <t>备注</t>
  </si>
  <si>
    <t>合计</t>
  </si>
  <si>
    <t xml:space="preserve">          </t>
  </si>
  <si>
    <t>制单人：</t>
  </si>
  <si>
    <t>审核人：</t>
  </si>
  <si>
    <t>CC-SMP-002-F05（版本号：B/1）</t>
  </si>
  <si>
    <t>第 1 页 共 1 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</si>
</sst>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7">
    <font>
      <sz val="12"/>
      <color theme="1"/>
      <name val="宋体"/>
      <charset val="134"/>
      <scheme val="minor"/>
    </font>
    <font>
      <b/>
      <sz val="20"/>
      <color rgb="FF000000"/>
      <name val="楷体"/>
      <charset val="134"/>
    </font>
    <font>
      <b/>
      <sz val="36"/>
      <color rgb="FF000000"/>
      <name val="黑体"/>
      <charset val="134"/>
    </font>
    <font>
      <b/>
      <sz val="20"/>
      <color rgb="FF000000"/>
      <name val="宋体"/>
      <charset val="134"/>
    </font>
    <font>
      <b/>
      <sz val="18"/>
      <color rgb="FF000000"/>
      <name val="宋体"/>
      <charset val="134"/>
    </font>
    <font>
      <b/>
      <sz val="12"/>
      <color rgb="FF000000"/>
      <name val="宋体"/>
      <charset val="134"/>
    </font>
    <font>
      <b/>
      <u/>
      <sz val="20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0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right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176" fontId="3" fillId="0" borderId="0" xfId="0" applyNumberFormat="1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right"/>
    </xf>
    <xf numFmtId="0" fontId="3" fillId="0" borderId="2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right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horizontal="right"/>
    </xf>
    <xf numFmtId="0" fontId="6" fillId="0" borderId="0" xfId="6" applyFont="1" applyAlignment="1">
      <alignment horizontal="right" vertical="center"/>
    </xf>
    <xf numFmtId="0" fontId="5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83820</xdr:colOff>
      <xdr:row>0</xdr:row>
      <xdr:rowOff>14605</xdr:rowOff>
    </xdr:from>
    <xdr:to>
      <xdr:col>1</xdr:col>
      <xdr:colOff>582930</xdr:colOff>
      <xdr:row>0</xdr:row>
      <xdr:rowOff>492125</xdr:rowOff>
    </xdr:to>
    <xdr:pic>
      <xdr:nvPicPr>
        <xdr:cNvPr id="2" name="图片 1" descr="new image - kzyka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" y="14605"/>
          <a:ext cx="1163955" cy="477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83820</xdr:colOff>
      <xdr:row>31</xdr:row>
      <xdr:rowOff>14605</xdr:rowOff>
    </xdr:from>
    <xdr:to>
      <xdr:col>1</xdr:col>
      <xdr:colOff>582930</xdr:colOff>
      <xdr:row>31</xdr:row>
      <xdr:rowOff>492125</xdr:rowOff>
    </xdr:to>
    <xdr:pic>
      <xdr:nvPicPr>
        <xdr:cNvPr id="3" name="图片 2" descr="new image - kzyka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" y="16659225"/>
          <a:ext cx="1163955" cy="4775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83820</xdr:colOff>
      <xdr:row>62</xdr:row>
      <xdr:rowOff>14605</xdr:rowOff>
    </xdr:from>
    <xdr:to>
      <xdr:col>1</xdr:col>
      <xdr:colOff>582930</xdr:colOff>
      <xdr:row>62</xdr:row>
      <xdr:rowOff>492125</xdr:rowOff>
    </xdr:to>
    <xdr:pic>
      <xdr:nvPicPr>
        <xdr:cNvPr id="4" name="图片 3" descr="new image - kzyka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" y="33303845"/>
          <a:ext cx="1163955" cy="4775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Haplox\&#20379;&#24212;&#38142;&#19982;&#29289;&#27969;&#31649;&#29702;\CP0005&#26680;&#37240;&#25552;&#21462;\-%20&#20986;&#24211;&#21333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S12"/>
      <sheetName val="成品"/>
      <sheetName val="Sheet1"/>
      <sheetName val="Sheet2"/>
      <sheetName val="Sheet4"/>
      <sheetName val="出库单1"/>
      <sheetName val="包材库1"/>
      <sheetName val="原材料仓1"/>
      <sheetName val="标签库1"/>
      <sheetName val="出库单 2"/>
      <sheetName val="包材库2"/>
      <sheetName val="原材料仓2"/>
      <sheetName val="标签库2"/>
      <sheetName val="出库单 3"/>
      <sheetName val="包材库3"/>
      <sheetName val="原材料仓3"/>
      <sheetName val="标签库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B2" t="str">
            <v>SJ06297</v>
          </cell>
          <cell r="C2" t="str">
            <v>Index Adapter 1&amp;2</v>
          </cell>
          <cell r="D2" t="str">
            <v>0.5nmoL/支/24支/套</v>
          </cell>
          <cell r="E2" t="str">
            <v>套</v>
          </cell>
          <cell r="F2" t="str">
            <v>Roche</v>
          </cell>
        </row>
        <row r="2">
          <cell r="T2" t="str">
            <v>SJ202508080001</v>
          </cell>
        </row>
        <row r="2">
          <cell r="V2">
            <v>46148</v>
          </cell>
          <cell r="W2" t="str">
            <v>原材料仓</v>
          </cell>
        </row>
        <row r="2">
          <cell r="AG2">
            <v>45972</v>
          </cell>
          <cell r="AH2" t="str">
            <v>CC2025111100008057</v>
          </cell>
          <cell r="AI2">
            <v>3</v>
          </cell>
        </row>
        <row r="3">
          <cell r="B3" t="str">
            <v>SJ06298</v>
          </cell>
          <cell r="C3" t="str">
            <v>Index 1&amp;2 Blocking oligos</v>
          </cell>
          <cell r="D3" t="str">
            <v>10nmoL/支/24支/套</v>
          </cell>
          <cell r="E3" t="str">
            <v>套</v>
          </cell>
          <cell r="F3" t="str">
            <v>Roche</v>
          </cell>
        </row>
        <row r="3">
          <cell r="T3" t="str">
            <v>SJ202508080002</v>
          </cell>
        </row>
        <row r="3">
          <cell r="V3">
            <v>46224</v>
          </cell>
        </row>
        <row r="3">
          <cell r="AI3">
            <v>2</v>
          </cell>
        </row>
        <row r="4">
          <cell r="B4" t="str">
            <v>SJ06299</v>
          </cell>
          <cell r="C4" t="str">
            <v>KAPA HTP Library Prep Kit illumina*</v>
          </cell>
          <cell r="D4" t="str">
            <v>96人份/盒</v>
          </cell>
          <cell r="E4" t="str">
            <v>盒</v>
          </cell>
          <cell r="F4" t="str">
            <v>Roche</v>
          </cell>
        </row>
        <row r="4">
          <cell r="T4" t="str">
            <v>SJ202508080003</v>
          </cell>
        </row>
        <row r="4">
          <cell r="V4">
            <v>46224</v>
          </cell>
        </row>
        <row r="4">
          <cell r="AI4">
            <v>6</v>
          </cell>
        </row>
        <row r="5">
          <cell r="B5" t="str">
            <v>SJ06300</v>
          </cell>
          <cell r="C5" t="str">
            <v>SeqCap EZ Hyb and Wash Kit*</v>
          </cell>
          <cell r="D5" t="str">
            <v>96人份/盒</v>
          </cell>
          <cell r="E5" t="str">
            <v>盒</v>
          </cell>
          <cell r="F5" t="str">
            <v>Roche</v>
          </cell>
        </row>
        <row r="5">
          <cell r="T5" t="str">
            <v>SJ202508080004</v>
          </cell>
        </row>
        <row r="5">
          <cell r="V5">
            <v>46223</v>
          </cell>
        </row>
        <row r="5">
          <cell r="AI5">
            <v>2</v>
          </cell>
        </row>
        <row r="6">
          <cell r="B6" t="str">
            <v>SJ06301</v>
          </cell>
          <cell r="C6" t="str">
            <v>SeqCap EZ Prime Choice probes</v>
          </cell>
          <cell r="D6" t="str">
            <v>432μL/支</v>
          </cell>
          <cell r="E6" t="str">
            <v>支</v>
          </cell>
          <cell r="F6" t="str">
            <v>Roche</v>
          </cell>
        </row>
        <row r="6">
          <cell r="T6" t="str">
            <v>SJ202508080005</v>
          </cell>
        </row>
        <row r="6">
          <cell r="V6">
            <v>46214</v>
          </cell>
        </row>
        <row r="6">
          <cell r="AI6">
            <v>2</v>
          </cell>
        </row>
        <row r="7">
          <cell r="B7" t="str">
            <v>SJ06302</v>
          </cell>
          <cell r="C7" t="str">
            <v>ALK wild type 标准品</v>
          </cell>
          <cell r="D7" t="str">
            <v>5μg/100μL/支</v>
          </cell>
          <cell r="E7" t="str">
            <v>支</v>
          </cell>
          <cell r="F7" t="str">
            <v>Horizon discovery</v>
          </cell>
        </row>
        <row r="7">
          <cell r="T7" t="str">
            <v>SJ202508060001</v>
          </cell>
        </row>
        <row r="7">
          <cell r="V7">
            <v>46217</v>
          </cell>
        </row>
        <row r="7">
          <cell r="AI7">
            <v>1</v>
          </cell>
        </row>
        <row r="8">
          <cell r="B8" t="str">
            <v>SJ06303</v>
          </cell>
          <cell r="C8" t="str">
            <v>EGFR wild type 标准品</v>
          </cell>
          <cell r="D8" t="str">
            <v>5μg/100μL/支</v>
          </cell>
          <cell r="E8" t="str">
            <v>支</v>
          </cell>
          <cell r="F8" t="str">
            <v>Horizon discovery</v>
          </cell>
        </row>
        <row r="8">
          <cell r="T8" t="str">
            <v>SJ202508060002</v>
          </cell>
        </row>
        <row r="8">
          <cell r="V8">
            <v>46217</v>
          </cell>
        </row>
        <row r="8">
          <cell r="AI8">
            <v>1</v>
          </cell>
        </row>
        <row r="9">
          <cell r="B9" t="str">
            <v>SJ06304</v>
          </cell>
          <cell r="C9" t="str">
            <v>EML4/ALK 标准品</v>
          </cell>
          <cell r="D9" t="str">
            <v>1μg/20μL/支</v>
          </cell>
          <cell r="E9" t="str">
            <v>支</v>
          </cell>
          <cell r="F9" t="str">
            <v>Horizon discovery</v>
          </cell>
        </row>
        <row r="9">
          <cell r="T9" t="str">
            <v>SJ202508060003</v>
          </cell>
        </row>
        <row r="9">
          <cell r="V9">
            <v>46217</v>
          </cell>
        </row>
        <row r="9">
          <cell r="AI9">
            <v>1</v>
          </cell>
        </row>
        <row r="10">
          <cell r="B10" t="str">
            <v>SJ06305</v>
          </cell>
          <cell r="C10" t="str">
            <v>EGFR ΔE746-A750 标准品</v>
          </cell>
          <cell r="D10" t="str">
            <v>1μg/20μL/支</v>
          </cell>
          <cell r="E10" t="str">
            <v>支</v>
          </cell>
          <cell r="F10" t="str">
            <v>Horizon discovery</v>
          </cell>
        </row>
        <row r="10">
          <cell r="T10" t="str">
            <v>SJ202508060004</v>
          </cell>
        </row>
        <row r="10">
          <cell r="V10">
            <v>46217</v>
          </cell>
        </row>
        <row r="10">
          <cell r="AI10">
            <v>1</v>
          </cell>
        </row>
        <row r="11">
          <cell r="B11" t="str">
            <v>SJ06306</v>
          </cell>
          <cell r="C11" t="str">
            <v>EGFR T790M 标准品</v>
          </cell>
          <cell r="D11" t="str">
            <v>1μg/20μL/支</v>
          </cell>
          <cell r="E11" t="str">
            <v>支</v>
          </cell>
          <cell r="F11" t="str">
            <v>Horizon discovery</v>
          </cell>
        </row>
        <row r="11">
          <cell r="T11" t="str">
            <v>SJ202508060005</v>
          </cell>
        </row>
        <row r="11">
          <cell r="V11">
            <v>46217</v>
          </cell>
        </row>
        <row r="11">
          <cell r="AI11">
            <v>1</v>
          </cell>
        </row>
        <row r="12">
          <cell r="B12" t="str">
            <v>SJ06307</v>
          </cell>
          <cell r="C12" t="str">
            <v>EGFR L858R 标准品</v>
          </cell>
          <cell r="D12" t="str">
            <v>1μg/20μL/支</v>
          </cell>
          <cell r="E12" t="str">
            <v>支</v>
          </cell>
          <cell r="F12" t="str">
            <v>Horizon discovery</v>
          </cell>
        </row>
        <row r="12">
          <cell r="T12" t="str">
            <v>SJ202508060006</v>
          </cell>
        </row>
        <row r="12">
          <cell r="V12">
            <v>46217</v>
          </cell>
        </row>
        <row r="12">
          <cell r="AI12">
            <v>1</v>
          </cell>
        </row>
      </sheetData>
      <sheetData sheetId="16">
        <row r="2">
          <cell r="B2" t="str">
            <v>HC00658</v>
          </cell>
          <cell r="C2" t="str">
            <v>盒签1</v>
          </cell>
          <cell r="D2" t="str">
            <v>13*8cm，白色</v>
          </cell>
          <cell r="E2" t="str">
            <v>张</v>
          </cell>
          <cell r="F2" t="str">
            <v>又一彩</v>
          </cell>
        </row>
        <row r="2">
          <cell r="T2" t="str">
            <v>HC202507180001</v>
          </cell>
        </row>
        <row r="2">
          <cell r="V2">
            <v>46951</v>
          </cell>
          <cell r="W2" t="str">
            <v>标签库</v>
          </cell>
        </row>
        <row r="2">
          <cell r="AG2">
            <v>45972</v>
          </cell>
          <cell r="AH2" t="str">
            <v>CC2025111100008057</v>
          </cell>
          <cell r="AI2">
            <v>13</v>
          </cell>
        </row>
        <row r="3">
          <cell r="B3" t="str">
            <v>WB00105</v>
          </cell>
          <cell r="C3" t="str">
            <v>瓶签4</v>
          </cell>
          <cell r="D3" t="str">
            <v>3.5*2cm，透明</v>
          </cell>
          <cell r="E3" t="str">
            <v>张</v>
          </cell>
          <cell r="F3" t="str">
            <v>又一彩</v>
          </cell>
        </row>
        <row r="3">
          <cell r="T3" t="str">
            <v>WB202507180005</v>
          </cell>
        </row>
        <row r="3">
          <cell r="V3">
            <v>46951</v>
          </cell>
        </row>
        <row r="3">
          <cell r="AI3">
            <v>897</v>
          </cell>
        </row>
        <row r="4">
          <cell r="B4" t="str">
            <v>WB00108</v>
          </cell>
          <cell r="C4" t="str">
            <v>盒签</v>
          </cell>
          <cell r="D4" t="str">
            <v>8*4.5cm，白色</v>
          </cell>
          <cell r="E4" t="str">
            <v>张</v>
          </cell>
          <cell r="F4" t="str">
            <v>又一彩</v>
          </cell>
        </row>
        <row r="4">
          <cell r="T4" t="str">
            <v>WB202507180006</v>
          </cell>
        </row>
        <row r="4">
          <cell r="V4">
            <v>46951</v>
          </cell>
        </row>
        <row r="4">
          <cell r="AI4">
            <v>52</v>
          </cell>
        </row>
        <row r="5">
          <cell r="B5" t="str">
            <v>WB00104</v>
          </cell>
          <cell r="C5" t="str">
            <v>瓶签2</v>
          </cell>
          <cell r="D5" t="str">
            <v>4*2cm，白色</v>
          </cell>
          <cell r="E5" t="str">
            <v>张</v>
          </cell>
          <cell r="F5" t="str">
            <v>熠辉</v>
          </cell>
        </row>
        <row r="5">
          <cell r="T5" t="str">
            <v>WB202507150001</v>
          </cell>
        </row>
        <row r="5">
          <cell r="V5">
            <v>46948</v>
          </cell>
        </row>
        <row r="5">
          <cell r="AI5">
            <v>26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92"/>
  <sheetViews>
    <sheetView tabSelected="1" view="pageBreakPreview" zoomScale="40" zoomScalePageLayoutView="25" zoomScaleNormal="55" workbookViewId="0">
      <selection activeCell="A6" sqref="A6:A20"/>
    </sheetView>
  </sheetViews>
  <sheetFormatPr defaultColWidth="9.6" defaultRowHeight="15.6"/>
  <cols>
    <col min="1" max="1" width="8.725" customWidth="1"/>
    <col min="2" max="2" width="22" customWidth="1"/>
    <col min="3" max="3" width="133.991666666667" customWidth="1"/>
    <col min="4" max="4" width="35.45" customWidth="1"/>
    <col min="5" max="5" width="51.6333333333333" customWidth="1"/>
    <col min="7" max="7" width="13.4"/>
    <col min="8" max="8" width="39.5" customWidth="1"/>
    <col min="9" max="9" width="23.0833333333333" customWidth="1"/>
    <col min="10" max="10" width="13.6333333333333" customWidth="1"/>
  </cols>
  <sheetData>
    <row r="1" ht="45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70" customHeight="1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0" customHeight="1" spans="1:10">
      <c r="A3" s="3"/>
      <c r="B3" s="3" t="s">
        <v>2</v>
      </c>
      <c r="C3" s="4" t="s">
        <v>3</v>
      </c>
      <c r="D3" s="3" t="s">
        <v>4</v>
      </c>
      <c r="E3" s="4" t="s">
        <v>5</v>
      </c>
      <c r="F3" s="5" t="s">
        <v>6</v>
      </c>
      <c r="G3" s="5"/>
      <c r="H3" s="6"/>
      <c r="I3" s="7"/>
      <c r="J3" s="7"/>
    </row>
    <row r="4" ht="50" customHeight="1" spans="1:10">
      <c r="A4" s="3"/>
      <c r="B4" s="3" t="s">
        <v>7</v>
      </c>
      <c r="C4" s="4"/>
      <c r="D4" s="3" t="s">
        <v>8</v>
      </c>
      <c r="E4" s="4" t="s">
        <v>9</v>
      </c>
      <c r="F4" s="5" t="s">
        <v>10</v>
      </c>
      <c r="G4" s="5"/>
      <c r="H4" s="8"/>
      <c r="I4" s="7"/>
      <c r="J4" s="7"/>
    </row>
    <row r="5" ht="50" customHeight="1" spans="1:10">
      <c r="A5" s="9" t="s">
        <v>11</v>
      </c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 t="s">
        <v>17</v>
      </c>
      <c r="H5" s="9" t="s">
        <v>18</v>
      </c>
      <c r="I5" s="9" t="s">
        <v>19</v>
      </c>
      <c r="J5" s="9" t="s">
        <v>20</v>
      </c>
    </row>
    <row r="6" ht="40" customHeight="1" spans="1:10">
      <c r="A6" s="10"/>
      <c r="B6" s="10"/>
      <c r="C6" s="10"/>
      <c r="D6" s="10"/>
      <c r="E6" s="11"/>
      <c r="F6" s="10"/>
      <c r="G6" s="12"/>
      <c r="H6" s="10"/>
      <c r="I6" s="13"/>
      <c r="J6" s="13"/>
    </row>
    <row r="7" ht="40" customHeight="1" spans="1:10">
      <c r="A7" s="10"/>
      <c r="B7" s="10"/>
      <c r="C7" s="10"/>
      <c r="D7" s="10"/>
      <c r="E7" s="11"/>
      <c r="F7" s="10"/>
      <c r="G7" s="12"/>
      <c r="H7" s="10"/>
      <c r="I7" s="13"/>
      <c r="J7" s="13"/>
    </row>
    <row r="8" ht="40" customHeight="1" spans="1:10">
      <c r="A8" s="10"/>
      <c r="B8" s="10"/>
      <c r="C8" s="10"/>
      <c r="D8" s="10"/>
      <c r="E8" s="11"/>
      <c r="F8" s="10"/>
      <c r="G8" s="12"/>
      <c r="H8" s="10"/>
      <c r="I8" s="13"/>
      <c r="J8" s="13"/>
    </row>
    <row r="9" ht="40" customHeight="1" spans="1:10">
      <c r="A9" s="10"/>
      <c r="B9" s="10"/>
      <c r="C9" s="10"/>
      <c r="D9" s="10"/>
      <c r="E9" s="11"/>
      <c r="F9" s="10"/>
      <c r="G9" s="12"/>
      <c r="H9" s="10"/>
      <c r="I9" s="13"/>
      <c r="J9" s="10"/>
    </row>
    <row r="10" ht="40" customHeight="1" spans="1:10">
      <c r="A10" s="10"/>
      <c r="B10" s="10"/>
      <c r="C10" s="10"/>
      <c r="D10" s="10"/>
      <c r="E10" s="11"/>
      <c r="F10" s="10"/>
      <c r="G10" s="12"/>
      <c r="H10" s="10"/>
      <c r="I10" s="13"/>
      <c r="J10" s="10"/>
    </row>
    <row r="11" ht="40" customHeight="1" spans="1:10">
      <c r="A11" s="10"/>
      <c r="B11" s="10"/>
      <c r="C11" s="10"/>
      <c r="D11" s="10"/>
      <c r="E11" s="11"/>
      <c r="F11" s="10"/>
      <c r="G11" s="12"/>
      <c r="H11" s="10"/>
      <c r="I11" s="13"/>
      <c r="J11" s="10"/>
    </row>
    <row r="12" ht="40" customHeight="1" spans="1:10">
      <c r="A12" s="10"/>
      <c r="B12" s="10"/>
      <c r="C12" s="10"/>
      <c r="D12" s="10"/>
      <c r="E12" s="11"/>
      <c r="F12" s="10"/>
      <c r="G12" s="12"/>
      <c r="H12" s="10"/>
      <c r="I12" s="13"/>
      <c r="J12" s="10"/>
    </row>
    <row r="13" ht="40" customHeight="1" spans="1:10">
      <c r="A13" s="10"/>
      <c r="B13" s="10"/>
      <c r="C13" s="10"/>
      <c r="D13" s="10"/>
      <c r="E13" s="11"/>
      <c r="F13" s="10"/>
      <c r="G13" s="12"/>
      <c r="H13" s="10"/>
      <c r="I13" s="13"/>
      <c r="J13" s="10"/>
    </row>
    <row r="14" ht="40" customHeight="1" spans="1:10">
      <c r="A14" s="10"/>
      <c r="B14" s="10"/>
      <c r="C14" s="10"/>
      <c r="D14" s="10"/>
      <c r="E14" s="11"/>
      <c r="F14" s="10"/>
      <c r="G14" s="10"/>
      <c r="H14" s="10"/>
      <c r="I14" s="13"/>
      <c r="J14" s="10"/>
    </row>
    <row r="15" ht="40" customHeight="1" spans="1:10">
      <c r="A15" s="10"/>
      <c r="B15" s="10"/>
      <c r="C15" s="10"/>
      <c r="D15" s="10"/>
      <c r="E15" s="11"/>
      <c r="F15" s="10"/>
      <c r="G15" s="10"/>
      <c r="H15" s="10"/>
      <c r="I15" s="13"/>
      <c r="J15" s="10"/>
    </row>
    <row r="16" ht="40" customHeight="1" spans="1:10">
      <c r="A16" s="10"/>
      <c r="B16" s="10"/>
      <c r="C16" s="10"/>
      <c r="D16" s="10"/>
      <c r="E16" s="11"/>
      <c r="F16" s="10"/>
      <c r="G16" s="10"/>
      <c r="H16" s="10"/>
      <c r="I16" s="13"/>
      <c r="J16" s="10"/>
    </row>
    <row r="17" ht="40" customHeight="1" spans="1:10">
      <c r="A17" s="10"/>
      <c r="B17" s="10"/>
      <c r="C17" s="10"/>
      <c r="D17" s="10"/>
      <c r="E17" s="11"/>
      <c r="F17" s="10"/>
      <c r="G17" s="10"/>
      <c r="H17" s="10"/>
      <c r="I17" s="13"/>
      <c r="J17" s="10"/>
    </row>
    <row r="18" ht="40" customHeight="1" spans="1:10">
      <c r="A18" s="10"/>
      <c r="B18" s="10"/>
      <c r="C18" s="10"/>
      <c r="D18" s="10"/>
      <c r="E18" s="11"/>
      <c r="F18" s="10"/>
      <c r="G18" s="10"/>
      <c r="H18" s="10"/>
      <c r="I18" s="13"/>
      <c r="J18" s="10"/>
    </row>
    <row r="19" ht="40" customHeight="1" spans="1:10">
      <c r="A19" s="10"/>
      <c r="B19" s="10"/>
      <c r="C19" s="10"/>
      <c r="D19" s="10"/>
      <c r="E19" s="11"/>
      <c r="F19" s="10"/>
      <c r="G19" s="10"/>
      <c r="H19" s="10"/>
      <c r="I19" s="13"/>
      <c r="J19" s="10"/>
    </row>
    <row r="20" ht="40" customHeight="1" spans="1:10">
      <c r="A20" s="10"/>
      <c r="B20" s="10"/>
      <c r="C20" s="10"/>
      <c r="D20" s="10"/>
      <c r="E20" s="11"/>
      <c r="F20" s="10"/>
      <c r="G20" s="10"/>
      <c r="H20" s="10"/>
      <c r="I20" s="13"/>
      <c r="J20" s="10"/>
    </row>
    <row r="21" ht="40" customHeight="1" spans="1:10">
      <c r="A21" s="10"/>
      <c r="B21" s="10"/>
      <c r="C21" s="10"/>
      <c r="D21" s="10"/>
      <c r="E21" s="11"/>
      <c r="F21" s="10"/>
      <c r="G21" s="10"/>
      <c r="H21" s="10"/>
      <c r="I21" s="13"/>
      <c r="J21" s="10"/>
    </row>
    <row r="22" ht="40" customHeight="1" spans="1:10">
      <c r="A22" s="10"/>
      <c r="B22" s="10"/>
      <c r="C22" s="10"/>
      <c r="D22" s="11"/>
      <c r="E22" s="10"/>
      <c r="F22" s="10"/>
      <c r="G22" s="10"/>
      <c r="H22" s="10"/>
      <c r="I22" s="13"/>
      <c r="J22" s="10"/>
    </row>
    <row r="23" ht="40" customHeight="1" spans="1:10">
      <c r="A23" s="10"/>
      <c r="B23" s="10"/>
      <c r="C23" s="10"/>
      <c r="D23" s="11"/>
      <c r="E23" s="10"/>
      <c r="F23" s="10"/>
      <c r="G23" s="10"/>
      <c r="H23" s="10"/>
      <c r="I23" s="13"/>
      <c r="J23" s="10"/>
    </row>
    <row r="24" ht="40" customHeight="1" spans="1:10">
      <c r="A24" s="10"/>
      <c r="B24" s="10"/>
      <c r="C24" s="10"/>
      <c r="D24" s="11"/>
      <c r="E24" s="10"/>
      <c r="F24" s="10"/>
      <c r="G24" s="10"/>
      <c r="H24" s="10"/>
      <c r="I24" s="13"/>
      <c r="J24" s="10"/>
    </row>
    <row r="25" ht="40" customHeight="1" spans="1:10">
      <c r="A25" s="10"/>
      <c r="B25" s="10"/>
      <c r="C25" s="10"/>
      <c r="D25" s="11"/>
      <c r="E25" s="10"/>
      <c r="F25" s="10"/>
      <c r="G25" s="10"/>
      <c r="H25" s="10"/>
      <c r="I25" s="13"/>
      <c r="J25" s="10"/>
    </row>
    <row r="26" ht="40" customHeight="1" spans="1:10">
      <c r="A26" s="10"/>
      <c r="B26" s="10"/>
      <c r="C26" s="10"/>
      <c r="D26" s="11"/>
      <c r="E26" s="10"/>
      <c r="F26" s="10"/>
      <c r="G26" s="10"/>
      <c r="H26" s="10"/>
      <c r="I26" s="13"/>
      <c r="J26" s="10"/>
    </row>
    <row r="27" ht="40" customHeight="1" spans="1:10">
      <c r="A27" s="14"/>
      <c r="B27" s="10" t="s">
        <v>21</v>
      </c>
      <c r="C27" s="10"/>
      <c r="D27" s="10"/>
      <c r="E27" s="10"/>
      <c r="F27" s="10"/>
      <c r="G27" s="10"/>
      <c r="H27" s="10"/>
      <c r="I27" s="10"/>
      <c r="J27" s="10"/>
    </row>
    <row r="28" ht="50" customHeight="1" spans="1:10">
      <c r="A28" s="15" t="s">
        <v>22</v>
      </c>
      <c r="B28" s="16" t="s">
        <v>23</v>
      </c>
      <c r="C28" s="17"/>
      <c r="D28" s="18"/>
      <c r="E28" s="17" t="s">
        <v>24</v>
      </c>
      <c r="F28" s="17"/>
      <c r="G28" s="17"/>
      <c r="H28" s="19"/>
      <c r="I28" s="18"/>
      <c r="J28" s="20"/>
    </row>
    <row r="29" ht="50" customHeight="1" spans="1:10">
      <c r="A29" s="21"/>
      <c r="B29" s="7"/>
      <c r="C29" s="7"/>
      <c r="D29" s="22"/>
      <c r="E29" s="22"/>
      <c r="F29" s="22"/>
      <c r="G29" s="22"/>
      <c r="H29" s="22"/>
      <c r="I29" s="7"/>
      <c r="J29" s="7"/>
    </row>
    <row r="30" ht="50" customHeight="1" spans="1:10">
      <c r="A30" s="21"/>
      <c r="B30" s="23" t="s">
        <v>25</v>
      </c>
      <c r="C30" s="23"/>
      <c r="D30" s="23"/>
      <c r="E30" s="18" t="s">
        <v>26</v>
      </c>
      <c r="F30" s="18"/>
      <c r="G30" s="18"/>
      <c r="H30" s="18"/>
      <c r="I30" s="18"/>
      <c r="J30" s="18"/>
    </row>
    <row r="32" ht="45" customHeight="1" spans="1:10">
      <c r="A32" s="1" t="s">
        <v>0</v>
      </c>
      <c r="B32" s="1"/>
      <c r="C32" s="1"/>
      <c r="D32" s="1"/>
      <c r="E32" s="1"/>
      <c r="F32" s="1"/>
      <c r="G32" s="1"/>
      <c r="H32" s="1"/>
      <c r="I32" s="1"/>
      <c r="J32" s="1"/>
    </row>
    <row r="33" ht="70" customHeight="1" spans="1:10">
      <c r="A33" s="2" t="s">
        <v>1</v>
      </c>
      <c r="B33" s="2"/>
      <c r="C33" s="2"/>
      <c r="D33" s="2"/>
      <c r="E33" s="2"/>
      <c r="F33" s="2"/>
      <c r="G33" s="2"/>
      <c r="H33" s="2"/>
      <c r="I33" s="2"/>
      <c r="J33" s="2"/>
    </row>
    <row r="34" ht="50" customHeight="1" spans="1:10">
      <c r="A34" s="3"/>
      <c r="B34" s="3" t="s">
        <v>2</v>
      </c>
      <c r="C34" s="4" t="s">
        <v>3</v>
      </c>
      <c r="D34" s="3" t="s">
        <v>4</v>
      </c>
      <c r="E34" s="4" t="s">
        <v>5</v>
      </c>
      <c r="F34" s="5" t="s">
        <v>6</v>
      </c>
      <c r="G34" s="5"/>
      <c r="H34" s="6" t="str">
        <f>[1]原材料仓3!AH2</f>
        <v>CC2025111100008057</v>
      </c>
      <c r="I34" s="7"/>
      <c r="J34" s="7"/>
    </row>
    <row r="35" ht="50" customHeight="1" spans="1:10">
      <c r="A35" s="3"/>
      <c r="B35" s="3" t="s">
        <v>7</v>
      </c>
      <c r="C35" s="4" t="str">
        <f>[1]原材料仓3!W2</f>
        <v>原材料仓</v>
      </c>
      <c r="D35" s="3" t="s">
        <v>8</v>
      </c>
      <c r="E35" s="4" t="s">
        <v>9</v>
      </c>
      <c r="F35" s="5" t="s">
        <v>10</v>
      </c>
      <c r="G35" s="5"/>
      <c r="H35" s="8">
        <f>[1]原材料仓3!AG2</f>
        <v>45972</v>
      </c>
      <c r="I35" s="7"/>
      <c r="J35" s="7"/>
    </row>
    <row r="36" ht="50" customHeight="1" spans="1:10">
      <c r="A36" s="9" t="s">
        <v>11</v>
      </c>
      <c r="B36" s="9" t="s">
        <v>12</v>
      </c>
      <c r="C36" s="9" t="s">
        <v>13</v>
      </c>
      <c r="D36" s="9" t="s">
        <v>14</v>
      </c>
      <c r="E36" s="9" t="s">
        <v>15</v>
      </c>
      <c r="F36" s="9" t="s">
        <v>16</v>
      </c>
      <c r="G36" s="9" t="s">
        <v>17</v>
      </c>
      <c r="H36" s="9" t="s">
        <v>18</v>
      </c>
      <c r="I36" s="9" t="s">
        <v>19</v>
      </c>
      <c r="J36" s="9" t="s">
        <v>20</v>
      </c>
    </row>
    <row r="37" ht="40" customHeight="1" spans="1:10">
      <c r="A37" s="10">
        <v>10</v>
      </c>
      <c r="B37" s="10" t="str">
        <f>[1]原材料仓3!B2</f>
        <v>SJ06297</v>
      </c>
      <c r="C37" s="10" t="str">
        <f>[1]原材料仓3!C2</f>
        <v>Index Adapter 1&amp;2</v>
      </c>
      <c r="D37" s="10" t="str">
        <f>[1]原材料仓3!F2</f>
        <v>Roche</v>
      </c>
      <c r="E37" s="11" t="str">
        <f>[1]原材料仓3!D2</f>
        <v>0.5nmoL/支/24支/套</v>
      </c>
      <c r="F37" s="10" t="str">
        <f>[1]原材料仓3!E2</f>
        <v>套</v>
      </c>
      <c r="G37" s="10">
        <f>[1]原材料仓3!AI2</f>
        <v>3</v>
      </c>
      <c r="H37" s="10" t="str">
        <f>[1]原材料仓3!T2</f>
        <v>SJ202508080001</v>
      </c>
      <c r="I37" s="13">
        <f>[1]原材料仓3!V2</f>
        <v>46148</v>
      </c>
      <c r="J37" s="13"/>
    </row>
    <row r="38" ht="40" customHeight="1" spans="1:10">
      <c r="A38" s="10">
        <v>20</v>
      </c>
      <c r="B38" s="10" t="str">
        <f>[1]原材料仓3!B3</f>
        <v>SJ06298</v>
      </c>
      <c r="C38" s="10" t="str">
        <f>[1]原材料仓3!C3</f>
        <v>Index 1&amp;2 Blocking oligos</v>
      </c>
      <c r="D38" s="10" t="str">
        <f>[1]原材料仓3!F3</f>
        <v>Roche</v>
      </c>
      <c r="E38" s="11" t="str">
        <f>[1]原材料仓3!D3</f>
        <v>10nmoL/支/24支/套</v>
      </c>
      <c r="F38" s="10" t="str">
        <f>[1]原材料仓3!E3</f>
        <v>套</v>
      </c>
      <c r="G38" s="10">
        <f>[1]原材料仓3!AI3</f>
        <v>2</v>
      </c>
      <c r="H38" s="10" t="str">
        <f>[1]原材料仓3!T3</f>
        <v>SJ202508080002</v>
      </c>
      <c r="I38" s="13">
        <f>[1]原材料仓3!V3</f>
        <v>46224</v>
      </c>
      <c r="J38" s="13"/>
    </row>
    <row r="39" ht="40" customHeight="1" spans="1:10">
      <c r="A39" s="10">
        <v>30</v>
      </c>
      <c r="B39" s="10" t="str">
        <f>[1]原材料仓3!B4</f>
        <v>SJ06299</v>
      </c>
      <c r="C39" s="10" t="str">
        <f>[1]原材料仓3!C4</f>
        <v>KAPA HTP Library Prep Kit illumina*</v>
      </c>
      <c r="D39" s="10" t="str">
        <f>[1]原材料仓3!F4</f>
        <v>Roche</v>
      </c>
      <c r="E39" s="11" t="str">
        <f>[1]原材料仓3!D4</f>
        <v>96人份/盒</v>
      </c>
      <c r="F39" s="10" t="str">
        <f>[1]原材料仓3!E4</f>
        <v>盒</v>
      </c>
      <c r="G39" s="10">
        <f>[1]原材料仓3!AI4</f>
        <v>6</v>
      </c>
      <c r="H39" s="10" t="str">
        <f>[1]原材料仓3!T4</f>
        <v>SJ202508080003</v>
      </c>
      <c r="I39" s="13">
        <f>[1]原材料仓3!V4</f>
        <v>46224</v>
      </c>
      <c r="J39" s="13"/>
    </row>
    <row r="40" ht="40" customHeight="1" spans="1:10">
      <c r="A40" s="10">
        <v>40</v>
      </c>
      <c r="B40" s="10" t="str">
        <f>[1]原材料仓3!B5</f>
        <v>SJ06300</v>
      </c>
      <c r="C40" s="10" t="str">
        <f>[1]原材料仓3!C5</f>
        <v>SeqCap EZ Hyb and Wash Kit*</v>
      </c>
      <c r="D40" s="10" t="str">
        <f>[1]原材料仓3!F5</f>
        <v>Roche</v>
      </c>
      <c r="E40" s="11" t="str">
        <f>[1]原材料仓3!D5</f>
        <v>96人份/盒</v>
      </c>
      <c r="F40" s="10" t="str">
        <f>[1]原材料仓3!E5</f>
        <v>盒</v>
      </c>
      <c r="G40" s="10">
        <f>[1]原材料仓3!AI5</f>
        <v>2</v>
      </c>
      <c r="H40" s="10" t="str">
        <f>[1]原材料仓3!T5</f>
        <v>SJ202508080004</v>
      </c>
      <c r="I40" s="13">
        <f>[1]原材料仓3!V5</f>
        <v>46223</v>
      </c>
      <c r="J40" s="10"/>
    </row>
    <row r="41" ht="40" customHeight="1" spans="1:10">
      <c r="A41" s="10">
        <v>50</v>
      </c>
      <c r="B41" s="10" t="str">
        <f>[1]原材料仓3!B6</f>
        <v>SJ06301</v>
      </c>
      <c r="C41" s="10" t="str">
        <f>[1]原材料仓3!C6</f>
        <v>SeqCap EZ Prime Choice probes</v>
      </c>
      <c r="D41" s="10" t="str">
        <f>[1]原材料仓3!F6</f>
        <v>Roche</v>
      </c>
      <c r="E41" s="11" t="str">
        <f>[1]原材料仓3!D6</f>
        <v>432μL/支</v>
      </c>
      <c r="F41" s="10" t="str">
        <f>[1]原材料仓3!E6</f>
        <v>支</v>
      </c>
      <c r="G41" s="10">
        <f>[1]原材料仓3!AI6</f>
        <v>2</v>
      </c>
      <c r="H41" s="10" t="str">
        <f>[1]原材料仓3!T6</f>
        <v>SJ202508080005</v>
      </c>
      <c r="I41" s="13">
        <f>[1]原材料仓3!V6</f>
        <v>46214</v>
      </c>
      <c r="J41" s="10"/>
    </row>
    <row r="42" ht="40" customHeight="1" spans="1:10">
      <c r="A42" s="10">
        <v>60</v>
      </c>
      <c r="B42" s="10" t="str">
        <f>[1]原材料仓3!B7</f>
        <v>SJ06302</v>
      </c>
      <c r="C42" s="10" t="str">
        <f>[1]原材料仓3!C7</f>
        <v>ALK wild type 标准品</v>
      </c>
      <c r="D42" s="10" t="str">
        <f>[1]原材料仓3!F7</f>
        <v>Horizon discovery</v>
      </c>
      <c r="E42" s="11" t="str">
        <f>[1]原材料仓3!D7</f>
        <v>5μg/100μL/支</v>
      </c>
      <c r="F42" s="10" t="str">
        <f>[1]原材料仓3!E7</f>
        <v>支</v>
      </c>
      <c r="G42" s="10">
        <f>[1]原材料仓3!AI7</f>
        <v>1</v>
      </c>
      <c r="H42" s="10" t="str">
        <f>[1]原材料仓3!T7</f>
        <v>SJ202508060001</v>
      </c>
      <c r="I42" s="13">
        <f>[1]原材料仓3!V7</f>
        <v>46217</v>
      </c>
      <c r="J42" s="10"/>
    </row>
    <row r="43" ht="40" customHeight="1" spans="1:10">
      <c r="A43" s="10">
        <v>70</v>
      </c>
      <c r="B43" s="10" t="str">
        <f>[1]原材料仓3!B8</f>
        <v>SJ06303</v>
      </c>
      <c r="C43" s="10" t="str">
        <f>[1]原材料仓3!C8</f>
        <v>EGFR wild type 标准品</v>
      </c>
      <c r="D43" s="10" t="str">
        <f>[1]原材料仓3!F8</f>
        <v>Horizon discovery</v>
      </c>
      <c r="E43" s="11" t="str">
        <f>[1]原材料仓3!D8</f>
        <v>5μg/100μL/支</v>
      </c>
      <c r="F43" s="10" t="str">
        <f>[1]原材料仓3!E8</f>
        <v>支</v>
      </c>
      <c r="G43" s="10">
        <f>[1]原材料仓3!AI8</f>
        <v>1</v>
      </c>
      <c r="H43" s="10" t="str">
        <f>[1]原材料仓3!T8</f>
        <v>SJ202508060002</v>
      </c>
      <c r="I43" s="13">
        <f>[1]原材料仓3!V8</f>
        <v>46217</v>
      </c>
      <c r="J43" s="10"/>
    </row>
    <row r="44" ht="40" customHeight="1" spans="1:10">
      <c r="A44" s="10">
        <v>80</v>
      </c>
      <c r="B44" s="10" t="str">
        <f>[1]原材料仓3!B9</f>
        <v>SJ06304</v>
      </c>
      <c r="C44" s="10" t="str">
        <f>[1]原材料仓3!C9</f>
        <v>EML4/ALK 标准品</v>
      </c>
      <c r="D44" s="10" t="str">
        <f>[1]原材料仓3!F9</f>
        <v>Horizon discovery</v>
      </c>
      <c r="E44" s="11" t="str">
        <f>[1]原材料仓3!D9</f>
        <v>1μg/20μL/支</v>
      </c>
      <c r="F44" s="10" t="str">
        <f>[1]原材料仓3!E9</f>
        <v>支</v>
      </c>
      <c r="G44" s="10">
        <f>[1]原材料仓3!AI9</f>
        <v>1</v>
      </c>
      <c r="H44" s="10" t="str">
        <f>[1]原材料仓3!T9</f>
        <v>SJ202508060003</v>
      </c>
      <c r="I44" s="13">
        <f>[1]原材料仓3!V9</f>
        <v>46217</v>
      </c>
      <c r="J44" s="10"/>
    </row>
    <row r="45" ht="40" customHeight="1" spans="1:10">
      <c r="A45" s="10">
        <v>90</v>
      </c>
      <c r="B45" s="10" t="str">
        <f>[1]原材料仓3!B10</f>
        <v>SJ06305</v>
      </c>
      <c r="C45" s="10" t="str">
        <f>[1]原材料仓3!C10</f>
        <v>EGFR ΔE746-A750 标准品</v>
      </c>
      <c r="D45" s="10" t="str">
        <f>[1]原材料仓3!F10</f>
        <v>Horizon discovery</v>
      </c>
      <c r="E45" s="11" t="str">
        <f>[1]原材料仓3!D10</f>
        <v>1μg/20μL/支</v>
      </c>
      <c r="F45" s="10" t="str">
        <f>[1]原材料仓3!E10</f>
        <v>支</v>
      </c>
      <c r="G45" s="10">
        <f>[1]原材料仓3!AI10</f>
        <v>1</v>
      </c>
      <c r="H45" s="10" t="str">
        <f>[1]原材料仓3!T10</f>
        <v>SJ202508060004</v>
      </c>
      <c r="I45" s="13">
        <f>[1]原材料仓3!V10</f>
        <v>46217</v>
      </c>
      <c r="J45" s="10"/>
    </row>
    <row r="46" ht="40" customHeight="1" spans="1:10">
      <c r="A46" s="10">
        <v>100</v>
      </c>
      <c r="B46" s="10" t="str">
        <f>[1]原材料仓3!B11</f>
        <v>SJ06306</v>
      </c>
      <c r="C46" s="10" t="str">
        <f>[1]原材料仓3!C11</f>
        <v>EGFR T790M 标准品</v>
      </c>
      <c r="D46" s="10" t="str">
        <f>[1]原材料仓3!F11</f>
        <v>Horizon discovery</v>
      </c>
      <c r="E46" s="11" t="str">
        <f>[1]原材料仓3!D11</f>
        <v>1μg/20μL/支</v>
      </c>
      <c r="F46" s="10" t="str">
        <f>[1]原材料仓3!E11</f>
        <v>支</v>
      </c>
      <c r="G46" s="10">
        <f>[1]原材料仓3!AI11</f>
        <v>1</v>
      </c>
      <c r="H46" s="10" t="str">
        <f>[1]原材料仓3!T11</f>
        <v>SJ202508060005</v>
      </c>
      <c r="I46" s="13">
        <f>[1]原材料仓3!V11</f>
        <v>46217</v>
      </c>
      <c r="J46" s="10"/>
    </row>
    <row r="47" ht="40" customHeight="1" spans="1:10">
      <c r="A47" s="10">
        <v>110</v>
      </c>
      <c r="B47" s="10" t="str">
        <f>[1]原材料仓3!B12</f>
        <v>SJ06307</v>
      </c>
      <c r="C47" s="10" t="str">
        <f>[1]原材料仓3!C12</f>
        <v>EGFR L858R 标准品</v>
      </c>
      <c r="D47" s="10" t="str">
        <f>[1]原材料仓3!F12</f>
        <v>Horizon discovery</v>
      </c>
      <c r="E47" s="11" t="str">
        <f>[1]原材料仓3!D12</f>
        <v>1μg/20μL/支</v>
      </c>
      <c r="F47" s="10" t="str">
        <f>[1]原材料仓3!E12</f>
        <v>支</v>
      </c>
      <c r="G47" s="10">
        <f>[1]原材料仓3!AI12</f>
        <v>1</v>
      </c>
      <c r="H47" s="10" t="str">
        <f>[1]原材料仓3!T12</f>
        <v>SJ202508060006</v>
      </c>
      <c r="I47" s="13">
        <f>[1]原材料仓3!V12</f>
        <v>46217</v>
      </c>
      <c r="J47" s="10"/>
    </row>
    <row r="48" ht="40" customHeight="1" spans="1:10">
      <c r="A48" s="10"/>
      <c r="B48" s="10"/>
      <c r="C48" s="10"/>
      <c r="D48" s="10"/>
      <c r="E48" s="11"/>
      <c r="F48" s="10"/>
      <c r="G48" s="10"/>
      <c r="H48" s="10"/>
      <c r="I48" s="13"/>
      <c r="J48" s="10"/>
    </row>
    <row r="49" ht="40" customHeight="1" spans="1:10">
      <c r="A49" s="10"/>
      <c r="B49" s="10"/>
      <c r="C49" s="10"/>
      <c r="D49" s="10"/>
      <c r="E49" s="11"/>
      <c r="F49" s="10"/>
      <c r="G49" s="10"/>
      <c r="H49" s="10"/>
      <c r="I49" s="13"/>
      <c r="J49" s="10"/>
    </row>
    <row r="50" ht="40" customHeight="1" spans="1:10">
      <c r="A50" s="10"/>
      <c r="B50" s="10"/>
      <c r="C50" s="10"/>
      <c r="D50" s="10"/>
      <c r="E50" s="11"/>
      <c r="F50" s="10"/>
      <c r="G50" s="10"/>
      <c r="H50" s="10"/>
      <c r="I50" s="13"/>
      <c r="J50" s="10"/>
    </row>
    <row r="51" ht="40" customHeight="1" spans="1:10">
      <c r="A51" s="10"/>
      <c r="B51" s="10"/>
      <c r="C51" s="10"/>
      <c r="D51" s="10"/>
      <c r="E51" s="11"/>
      <c r="F51" s="10"/>
      <c r="G51" s="10"/>
      <c r="H51" s="10"/>
      <c r="I51" s="13"/>
      <c r="J51" s="10"/>
    </row>
    <row r="52" ht="40" customHeight="1" spans="1:10">
      <c r="A52" s="10"/>
      <c r="B52" s="10"/>
      <c r="C52" s="10"/>
      <c r="D52" s="10"/>
      <c r="E52" s="11"/>
      <c r="F52" s="10"/>
      <c r="G52" s="10"/>
      <c r="H52" s="10"/>
      <c r="I52" s="13"/>
      <c r="J52" s="10"/>
    </row>
    <row r="53" ht="40" customHeight="1" spans="1:10">
      <c r="A53" s="10"/>
      <c r="B53" s="10"/>
      <c r="C53" s="10"/>
      <c r="D53" s="10"/>
      <c r="E53" s="11"/>
      <c r="F53" s="10"/>
      <c r="G53" s="10"/>
      <c r="H53" s="10"/>
      <c r="I53" s="13"/>
      <c r="J53" s="10"/>
    </row>
    <row r="54" ht="40" customHeight="1" spans="1:10">
      <c r="A54" s="10"/>
      <c r="B54" s="10"/>
      <c r="C54" s="10"/>
      <c r="D54" s="10"/>
      <c r="E54" s="11"/>
      <c r="F54" s="10"/>
      <c r="G54" s="10"/>
      <c r="H54" s="10"/>
      <c r="I54" s="13"/>
      <c r="J54" s="10"/>
    </row>
    <row r="55" ht="40" customHeight="1" spans="1:10">
      <c r="A55" s="10"/>
      <c r="B55" s="10"/>
      <c r="C55" s="10"/>
      <c r="D55" s="10"/>
      <c r="E55" s="11"/>
      <c r="F55" s="10"/>
      <c r="G55" s="10"/>
      <c r="H55" s="10"/>
      <c r="I55" s="13"/>
      <c r="J55" s="10"/>
    </row>
    <row r="56" ht="40" customHeight="1" spans="1:10">
      <c r="A56" s="10"/>
      <c r="B56" s="10"/>
      <c r="C56" s="10"/>
      <c r="D56" s="10"/>
      <c r="E56" s="11"/>
      <c r="F56" s="10"/>
      <c r="G56" s="10"/>
      <c r="H56" s="10"/>
      <c r="I56" s="13"/>
      <c r="J56" s="10"/>
    </row>
    <row r="57" ht="40" customHeight="1" spans="1:10">
      <c r="A57" s="10"/>
      <c r="B57" s="10"/>
      <c r="C57" s="10"/>
      <c r="D57" s="11"/>
      <c r="E57" s="10"/>
      <c r="F57" s="10"/>
      <c r="G57" s="10"/>
      <c r="H57" s="10"/>
      <c r="I57" s="13"/>
      <c r="J57" s="10"/>
    </row>
    <row r="58" ht="40" customHeight="1" spans="1:10">
      <c r="A58" s="14"/>
      <c r="B58" s="10" t="s">
        <v>21</v>
      </c>
      <c r="C58" s="10"/>
      <c r="D58" s="10"/>
      <c r="E58" s="10"/>
      <c r="F58" s="10"/>
      <c r="G58" s="10"/>
      <c r="H58" s="10"/>
      <c r="I58" s="10"/>
      <c r="J58" s="10"/>
    </row>
    <row r="59" ht="50" customHeight="1" spans="1:10">
      <c r="A59" s="15" t="s">
        <v>22</v>
      </c>
      <c r="B59" s="16" t="s">
        <v>23</v>
      </c>
      <c r="C59" s="17"/>
      <c r="D59" s="18"/>
      <c r="E59" s="17" t="s">
        <v>24</v>
      </c>
      <c r="F59" s="17"/>
      <c r="G59" s="17"/>
      <c r="H59" s="19"/>
      <c r="I59" s="18"/>
      <c r="J59" s="20"/>
    </row>
    <row r="60" ht="50" customHeight="1" spans="1:10">
      <c r="A60" s="21"/>
      <c r="B60" s="7"/>
      <c r="C60" s="7"/>
      <c r="D60" s="22"/>
      <c r="E60" s="22"/>
      <c r="F60" s="22"/>
      <c r="G60" s="22"/>
      <c r="H60" s="22"/>
      <c r="I60" s="7"/>
      <c r="J60" s="7"/>
    </row>
    <row r="61" ht="50" customHeight="1" spans="1:10">
      <c r="A61" s="21"/>
      <c r="B61" s="23" t="s">
        <v>25</v>
      </c>
      <c r="C61" s="23"/>
      <c r="D61" s="23"/>
      <c r="E61" s="18" t="s">
        <v>26</v>
      </c>
      <c r="F61" s="18"/>
      <c r="G61" s="18"/>
      <c r="H61" s="18"/>
      <c r="I61" s="18"/>
      <c r="J61" s="18"/>
    </row>
    <row r="63" ht="45" customHeight="1" spans="1:10">
      <c r="A63" s="1" t="s">
        <v>0</v>
      </c>
      <c r="B63" s="1"/>
      <c r="C63" s="1"/>
      <c r="D63" s="1"/>
      <c r="E63" s="1"/>
      <c r="F63" s="1"/>
      <c r="G63" s="1"/>
      <c r="H63" s="1"/>
      <c r="I63" s="1"/>
      <c r="J63" s="1"/>
    </row>
    <row r="64" ht="70" customHeight="1" spans="1:10">
      <c r="A64" s="2" t="s">
        <v>1</v>
      </c>
      <c r="B64" s="2"/>
      <c r="C64" s="2"/>
      <c r="D64" s="2"/>
      <c r="E64" s="2"/>
      <c r="F64" s="2"/>
      <c r="G64" s="2"/>
      <c r="H64" s="2"/>
      <c r="I64" s="2"/>
      <c r="J64" s="2"/>
    </row>
    <row r="65" ht="50" customHeight="1" spans="1:10">
      <c r="A65" s="3"/>
      <c r="B65" s="3" t="s">
        <v>2</v>
      </c>
      <c r="C65" s="4" t="s">
        <v>3</v>
      </c>
      <c r="D65" s="3" t="s">
        <v>4</v>
      </c>
      <c r="E65" s="4" t="s">
        <v>5</v>
      </c>
      <c r="F65" s="5" t="s">
        <v>6</v>
      </c>
      <c r="G65" s="5"/>
      <c r="H65" s="6" t="str">
        <f>[1]标签库3!AH2</f>
        <v>CC2025111100008057</v>
      </c>
      <c r="I65" s="7"/>
      <c r="J65" s="7"/>
    </row>
    <row r="66" ht="50" customHeight="1" spans="1:10">
      <c r="A66" s="3"/>
      <c r="B66" s="3" t="s">
        <v>7</v>
      </c>
      <c r="C66" s="4" t="str">
        <f>[1]标签库3!W2</f>
        <v>标签库</v>
      </c>
      <c r="D66" s="3" t="s">
        <v>8</v>
      </c>
      <c r="E66" s="4" t="s">
        <v>9</v>
      </c>
      <c r="F66" s="5" t="s">
        <v>10</v>
      </c>
      <c r="G66" s="5"/>
      <c r="H66" s="8">
        <f>[1]标签库3!AG2</f>
        <v>45972</v>
      </c>
      <c r="I66" s="7"/>
      <c r="J66" s="7"/>
    </row>
    <row r="67" ht="50" customHeight="1" spans="1:10">
      <c r="A67" s="9" t="s">
        <v>11</v>
      </c>
      <c r="B67" s="9" t="s">
        <v>12</v>
      </c>
      <c r="C67" s="9" t="s">
        <v>13</v>
      </c>
      <c r="D67" s="9" t="s">
        <v>14</v>
      </c>
      <c r="E67" s="9" t="s">
        <v>15</v>
      </c>
      <c r="F67" s="9" t="s">
        <v>16</v>
      </c>
      <c r="G67" s="9" t="s">
        <v>17</v>
      </c>
      <c r="H67" s="9" t="s">
        <v>18</v>
      </c>
      <c r="I67" s="9" t="s">
        <v>19</v>
      </c>
      <c r="J67" s="9" t="s">
        <v>20</v>
      </c>
    </row>
    <row r="68" ht="35" customHeight="1" spans="1:10">
      <c r="A68" s="10">
        <v>10</v>
      </c>
      <c r="B68" s="10" t="str">
        <f>[1]标签库3!B2</f>
        <v>HC00658</v>
      </c>
      <c r="C68" s="10" t="str">
        <f>[1]标签库3!C2</f>
        <v>盒签1</v>
      </c>
      <c r="D68" s="10" t="str">
        <f>[1]标签库3!F2</f>
        <v>又一彩</v>
      </c>
      <c r="E68" s="11" t="str">
        <f>[1]标签库3!D2</f>
        <v>13*8cm，白色</v>
      </c>
      <c r="F68" s="10" t="str">
        <f>[1]标签库3!E2</f>
        <v>张</v>
      </c>
      <c r="G68" s="10">
        <f>[1]标签库3!AI2</f>
        <v>13</v>
      </c>
      <c r="H68" s="10" t="str">
        <f>[1]标签库3!T2</f>
        <v>HC202507180001</v>
      </c>
      <c r="I68" s="13">
        <f>[1]标签库3!V2</f>
        <v>46951</v>
      </c>
      <c r="J68" s="13"/>
    </row>
    <row r="69" ht="35" customHeight="1" spans="1:10">
      <c r="A69" s="10">
        <v>20</v>
      </c>
      <c r="B69" s="10" t="str">
        <f>[1]标签库3!B3</f>
        <v>WB00105</v>
      </c>
      <c r="C69" s="10" t="str">
        <f>[1]标签库3!C3</f>
        <v>瓶签4</v>
      </c>
      <c r="D69" s="10" t="str">
        <f>[1]标签库3!F3</f>
        <v>又一彩</v>
      </c>
      <c r="E69" s="11" t="str">
        <f>[1]标签库3!D3</f>
        <v>3.5*2cm，透明</v>
      </c>
      <c r="F69" s="10" t="str">
        <f>[1]标签库3!E3</f>
        <v>张</v>
      </c>
      <c r="G69" s="10">
        <f>[1]标签库3!AI3</f>
        <v>897</v>
      </c>
      <c r="H69" s="10" t="str">
        <f>[1]标签库3!T3</f>
        <v>WB202507180005</v>
      </c>
      <c r="I69" s="13">
        <f>[1]标签库3!V3</f>
        <v>46951</v>
      </c>
      <c r="J69" s="13"/>
    </row>
    <row r="70" ht="35" customHeight="1" spans="1:10">
      <c r="A70" s="10">
        <v>30</v>
      </c>
      <c r="B70" s="10" t="str">
        <f>[1]标签库3!B4</f>
        <v>WB00108</v>
      </c>
      <c r="C70" s="10" t="str">
        <f>[1]标签库3!C4</f>
        <v>盒签</v>
      </c>
      <c r="D70" s="10" t="str">
        <f>[1]标签库3!F4</f>
        <v>又一彩</v>
      </c>
      <c r="E70" s="11" t="str">
        <f>[1]标签库3!D4</f>
        <v>8*4.5cm，白色</v>
      </c>
      <c r="F70" s="10" t="str">
        <f>[1]标签库3!E4</f>
        <v>张</v>
      </c>
      <c r="G70" s="10">
        <f>[1]标签库3!AI4</f>
        <v>52</v>
      </c>
      <c r="H70" s="10" t="str">
        <f>[1]标签库3!T4</f>
        <v>WB202507180006</v>
      </c>
      <c r="I70" s="13">
        <f>[1]标签库3!V4</f>
        <v>46951</v>
      </c>
      <c r="J70" s="13"/>
    </row>
    <row r="71" ht="35" customHeight="1" spans="1:10">
      <c r="A71" s="10">
        <v>40</v>
      </c>
      <c r="B71" s="10" t="str">
        <f>[1]标签库3!B5</f>
        <v>WB00104</v>
      </c>
      <c r="C71" s="10" t="str">
        <f>[1]标签库3!C5</f>
        <v>瓶签2</v>
      </c>
      <c r="D71" s="10" t="str">
        <f>[1]标签库3!F5</f>
        <v>熠辉</v>
      </c>
      <c r="E71" s="11" t="str">
        <f>[1]标签库3!D5</f>
        <v>4*2cm，白色</v>
      </c>
      <c r="F71" s="10" t="str">
        <f>[1]标签库3!E5</f>
        <v>张</v>
      </c>
      <c r="G71" s="10">
        <f>[1]标签库3!AI5</f>
        <v>26</v>
      </c>
      <c r="H71" s="10" t="str">
        <f>[1]标签库3!T5</f>
        <v>WB202507150001</v>
      </c>
      <c r="I71" s="13">
        <f>[1]标签库3!V5</f>
        <v>46948</v>
      </c>
      <c r="J71" s="10"/>
    </row>
    <row r="72" ht="35" customHeight="1" spans="1:10">
      <c r="A72" s="10"/>
      <c r="B72" s="10"/>
      <c r="C72" s="10"/>
      <c r="D72" s="10"/>
      <c r="E72" s="11"/>
      <c r="F72" s="10"/>
      <c r="G72" s="10"/>
      <c r="H72" s="10"/>
      <c r="I72" s="13"/>
      <c r="J72" s="10"/>
    </row>
    <row r="73" ht="35" customHeight="1" spans="1:10">
      <c r="A73" s="10"/>
      <c r="B73" s="10"/>
      <c r="C73" s="10"/>
      <c r="D73" s="10"/>
      <c r="E73" s="11"/>
      <c r="F73" s="10"/>
      <c r="G73" s="10"/>
      <c r="H73" s="10"/>
      <c r="I73" s="13"/>
      <c r="J73" s="10"/>
    </row>
    <row r="74" ht="35" customHeight="1" spans="1:10">
      <c r="A74" s="10"/>
      <c r="B74" s="10"/>
      <c r="C74" s="10"/>
      <c r="D74" s="10"/>
      <c r="E74" s="11"/>
      <c r="F74" s="10"/>
      <c r="G74" s="10"/>
      <c r="H74" s="10"/>
      <c r="I74" s="13"/>
      <c r="J74" s="10"/>
    </row>
    <row r="75" ht="35" customHeight="1" spans="1:10">
      <c r="A75" s="10"/>
      <c r="B75" s="10"/>
      <c r="C75" s="10"/>
      <c r="D75" s="10"/>
      <c r="E75" s="11"/>
      <c r="F75" s="10"/>
      <c r="G75" s="10"/>
      <c r="H75" s="10"/>
      <c r="I75" s="13"/>
      <c r="J75" s="10"/>
    </row>
    <row r="76" ht="35" customHeight="1" spans="1:10">
      <c r="A76" s="10"/>
      <c r="B76" s="10"/>
      <c r="C76" s="10"/>
      <c r="D76" s="10"/>
      <c r="E76" s="11"/>
      <c r="F76" s="10"/>
      <c r="G76" s="10"/>
      <c r="H76" s="10"/>
      <c r="I76" s="13"/>
      <c r="J76" s="10"/>
    </row>
    <row r="77" ht="35" customHeight="1" spans="1:10">
      <c r="A77" s="10"/>
      <c r="B77" s="10"/>
      <c r="C77" s="10"/>
      <c r="D77" s="10"/>
      <c r="E77" s="11"/>
      <c r="F77" s="10"/>
      <c r="G77" s="10"/>
      <c r="H77" s="10"/>
      <c r="I77" s="13"/>
      <c r="J77" s="10"/>
    </row>
    <row r="78" ht="35" customHeight="1" spans="1:10">
      <c r="A78" s="10"/>
      <c r="B78" s="10"/>
      <c r="C78" s="10"/>
      <c r="D78" s="10"/>
      <c r="E78" s="11"/>
      <c r="F78" s="10"/>
      <c r="G78" s="10"/>
      <c r="H78" s="10"/>
      <c r="I78" s="13"/>
      <c r="J78" s="10"/>
    </row>
    <row r="79" ht="35" customHeight="1" spans="1:10">
      <c r="A79" s="10"/>
      <c r="B79" s="10"/>
      <c r="C79" s="10"/>
      <c r="D79" s="10"/>
      <c r="E79" s="11"/>
      <c r="F79" s="10"/>
      <c r="G79" s="10"/>
      <c r="H79" s="10"/>
      <c r="I79" s="13"/>
      <c r="J79" s="10"/>
    </row>
    <row r="80" ht="35" customHeight="1" spans="1:10">
      <c r="A80" s="10"/>
      <c r="B80" s="10"/>
      <c r="C80" s="10"/>
      <c r="D80" s="10"/>
      <c r="E80" s="11"/>
      <c r="F80" s="10"/>
      <c r="G80" s="10"/>
      <c r="H80" s="10"/>
      <c r="I80" s="13"/>
      <c r="J80" s="10"/>
    </row>
    <row r="81" ht="35" customHeight="1" spans="1:10">
      <c r="A81" s="10"/>
      <c r="B81" s="10"/>
      <c r="C81" s="10"/>
      <c r="D81" s="10"/>
      <c r="E81" s="11"/>
      <c r="F81" s="10"/>
      <c r="G81" s="10"/>
      <c r="H81" s="10"/>
      <c r="I81" s="13"/>
      <c r="J81" s="10"/>
    </row>
    <row r="82" ht="35" customHeight="1" spans="1:10">
      <c r="A82" s="10"/>
      <c r="B82" s="10"/>
      <c r="C82" s="10"/>
      <c r="D82" s="10"/>
      <c r="E82" s="11"/>
      <c r="F82" s="10"/>
      <c r="G82" s="10"/>
      <c r="H82" s="10"/>
      <c r="I82" s="13"/>
      <c r="J82" s="10"/>
    </row>
    <row r="83" ht="35" customHeight="1" spans="1:10">
      <c r="A83" s="10"/>
      <c r="B83" s="10"/>
      <c r="C83" s="10"/>
      <c r="D83" s="10"/>
      <c r="E83" s="11"/>
      <c r="F83" s="10"/>
      <c r="G83" s="10"/>
      <c r="H83" s="10"/>
      <c r="I83" s="13"/>
      <c r="J83" s="10"/>
    </row>
    <row r="84" ht="35" customHeight="1" spans="1:10">
      <c r="A84" s="10"/>
      <c r="B84" s="10"/>
      <c r="C84" s="10"/>
      <c r="D84" s="10"/>
      <c r="E84" s="11"/>
      <c r="F84" s="10"/>
      <c r="G84" s="10"/>
      <c r="H84" s="10"/>
      <c r="I84" s="13"/>
      <c r="J84" s="10"/>
    </row>
    <row r="85" ht="35" customHeight="1" spans="1:10">
      <c r="A85" s="10"/>
      <c r="B85" s="10"/>
      <c r="C85" s="10"/>
      <c r="D85" s="10"/>
      <c r="E85" s="11"/>
      <c r="F85" s="10"/>
      <c r="G85" s="10"/>
      <c r="H85" s="10"/>
      <c r="I85" s="13"/>
      <c r="J85" s="10"/>
    </row>
    <row r="86" ht="35" customHeight="1" spans="1:10">
      <c r="A86" s="10"/>
      <c r="B86" s="10"/>
      <c r="C86" s="10"/>
      <c r="D86" s="10"/>
      <c r="E86" s="11"/>
      <c r="F86" s="10"/>
      <c r="G86" s="10"/>
      <c r="H86" s="10"/>
      <c r="I86" s="13"/>
      <c r="J86" s="10"/>
    </row>
    <row r="87" ht="35" customHeight="1" spans="1:10">
      <c r="A87" s="10"/>
      <c r="B87" s="10"/>
      <c r="C87" s="10"/>
      <c r="D87" s="10"/>
      <c r="E87" s="11"/>
      <c r="F87" s="10"/>
      <c r="G87" s="10"/>
      <c r="H87" s="10"/>
      <c r="I87" s="13"/>
      <c r="J87" s="10"/>
    </row>
    <row r="88" ht="35" customHeight="1" spans="1:10">
      <c r="A88" s="10"/>
      <c r="B88" s="10"/>
      <c r="C88" s="10"/>
      <c r="D88" s="11"/>
      <c r="E88" s="10"/>
      <c r="F88" s="10"/>
      <c r="G88" s="10"/>
      <c r="H88" s="10"/>
      <c r="I88" s="13"/>
      <c r="J88" s="10"/>
    </row>
    <row r="89" ht="35" customHeight="1" spans="1:10">
      <c r="A89" s="14"/>
      <c r="B89" s="10" t="s">
        <v>21</v>
      </c>
      <c r="C89" s="10"/>
      <c r="D89" s="10"/>
      <c r="E89" s="10"/>
      <c r="F89" s="10"/>
      <c r="G89" s="10"/>
      <c r="H89" s="10"/>
      <c r="I89" s="10"/>
      <c r="J89" s="10"/>
    </row>
    <row r="90" ht="50" customHeight="1" spans="1:10">
      <c r="A90" s="15" t="s">
        <v>22</v>
      </c>
      <c r="B90" s="16" t="s">
        <v>23</v>
      </c>
      <c r="C90" s="17"/>
      <c r="D90" s="18"/>
      <c r="E90" s="17" t="s">
        <v>24</v>
      </c>
      <c r="F90" s="17"/>
      <c r="G90" s="17"/>
      <c r="H90" s="19"/>
      <c r="I90" s="18"/>
      <c r="J90" s="20"/>
    </row>
    <row r="91" ht="50" customHeight="1" spans="1:10">
      <c r="A91" s="21"/>
      <c r="B91" s="7"/>
      <c r="C91" s="7"/>
      <c r="D91" s="22"/>
      <c r="E91" s="22"/>
      <c r="F91" s="22"/>
      <c r="G91" s="22"/>
      <c r="H91" s="22"/>
      <c r="I91" s="7"/>
      <c r="J91" s="7"/>
    </row>
    <row r="92" ht="50" customHeight="1" spans="1:10">
      <c r="A92" s="21"/>
      <c r="B92" s="23" t="s">
        <v>25</v>
      </c>
      <c r="C92" s="23"/>
      <c r="D92" s="23"/>
      <c r="E92" s="18" t="s">
        <v>26</v>
      </c>
      <c r="F92" s="18"/>
      <c r="G92" s="18"/>
      <c r="H92" s="18"/>
      <c r="I92" s="18"/>
      <c r="J92" s="18"/>
    </row>
  </sheetData>
  <mergeCells count="24">
    <mergeCell ref="A1:J1"/>
    <mergeCell ref="A2:J2"/>
    <mergeCell ref="F3:G3"/>
    <mergeCell ref="F4:G4"/>
    <mergeCell ref="C27:F27"/>
    <mergeCell ref="H27:J27"/>
    <mergeCell ref="B30:D30"/>
    <mergeCell ref="E30:J30"/>
    <mergeCell ref="A32:J32"/>
    <mergeCell ref="A33:J33"/>
    <mergeCell ref="F34:G34"/>
    <mergeCell ref="F35:G35"/>
    <mergeCell ref="C58:F58"/>
    <mergeCell ref="H58:J58"/>
    <mergeCell ref="B61:D61"/>
    <mergeCell ref="E61:J61"/>
    <mergeCell ref="A63:J63"/>
    <mergeCell ref="A64:J64"/>
    <mergeCell ref="F65:G65"/>
    <mergeCell ref="F66:G66"/>
    <mergeCell ref="C89:F89"/>
    <mergeCell ref="H89:J89"/>
    <mergeCell ref="B92:D92"/>
    <mergeCell ref="E92:J92"/>
  </mergeCells>
  <pageMargins left="0" right="0" top="0.590277777777778" bottom="0" header="0.5" footer="0.196527777777778"/>
  <pageSetup paperSize="11" scale="27" fitToHeight="0" orientation="landscape" horizontalDpi="600"/>
  <headerFooter/>
  <rowBreaks count="2" manualBreakCount="2">
    <brk id="30" max="16383" man="1"/>
    <brk id="61" max="9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出库单 3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天好蓝</dc:creator>
  <cp:lastModifiedBy>天好蓝</cp:lastModifiedBy>
  <dcterms:created xsi:type="dcterms:W3CDTF">2026-02-05T09:11:07Z</dcterms:created>
  <dcterms:modified xsi:type="dcterms:W3CDTF">2026-02-05T09:12:00Z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5EFDE2F431C64783A612447AC35539C3_11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